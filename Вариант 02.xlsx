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Nouveau dossier\FREDERICK\"/>
    </mc:Choice>
  </mc:AlternateContent>
  <xr:revisionPtr revIDLastSave="0" documentId="13_ncr:1_{DFF0C6C1-96FE-42AE-99F6-B10A0B659E36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Инвестиции!$G$6:$G$13</definedName>
    <definedName name="solver_adj" localSheetId="4" hidden="1">Назначения!$C$16:$F$19</definedName>
    <definedName name="solver_adj" localSheetId="0" hidden="1">Опт.План!$B$19:$D$20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2</definedName>
    <definedName name="solver_drv" localSheetId="2" hidden="1">1</definedName>
    <definedName name="solver_drv" localSheetId="1" hidden="1">2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Инвестиции!$G$6:$G$13</definedName>
    <definedName name="solver_lhs1" localSheetId="4" hidden="1">Назначения!$C$16:$F$19</definedName>
    <definedName name="solver_lhs1" localSheetId="0" hidden="1">Опт.План!$B$19:$D$20</definedName>
    <definedName name="solver_lhs1" localSheetId="2" hidden="1">Тр.Задача!$C$15:$G$18</definedName>
    <definedName name="solver_lhs1" localSheetId="1" hidden="1">Шт.Расписание!$E$5:$E$11</definedName>
    <definedName name="solver_lhs2" localSheetId="3" hidden="1">Инвестиции!$J$8</definedName>
    <definedName name="solver_lhs2" localSheetId="4" hidden="1">Назначения!$C$20:$F$20</definedName>
    <definedName name="solver_lhs2" localSheetId="0" hidden="1">Опт.План!$B$21:$D$21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Назначения!$G$16:$G$19</definedName>
    <definedName name="solver_lhs3" localSheetId="2" hidden="1">Тр.Задача!$H$15:$H$18</definedName>
    <definedName name="solver_lhs4" localSheetId="4" hidden="1">Назначения!$H$16:$H$19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Инвестиции!$J$9</definedName>
    <definedName name="solver_opt" localSheetId="4" hidden="1">Назначения!$J$16</definedName>
    <definedName name="solver_opt" localSheetId="0" hidden="1">Опт.План!$G$21</definedName>
    <definedName name="solver_opt" localSheetId="2" hidden="1">Тр.Задача!$J$22</definedName>
    <definedName name="solver_opt" localSheetId="1" hidden="1">Шт.Расписание!$H$15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2</definedName>
    <definedName name="solver_rbv" localSheetId="2" hidden="1">1</definedName>
    <definedName name="solver_rbv" localSheetId="1" hidden="1">2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Инвестиции!$E$6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Назначения!$I$16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2</definedName>
    <definedName name="solver_scl" localSheetId="2" hidden="1">1</definedName>
    <definedName name="solver_scl" localSheetId="1" hidden="1">2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6" l="1"/>
  <c r="H18" i="6"/>
  <c r="H19" i="6"/>
  <c r="H16" i="6"/>
  <c r="J16" i="6"/>
  <c r="I16" i="6" s="1"/>
  <c r="G17" i="6"/>
  <c r="G18" i="6"/>
  <c r="G19" i="6"/>
  <c r="G16" i="6"/>
  <c r="D20" i="6"/>
  <c r="E20" i="6"/>
  <c r="F20" i="6"/>
  <c r="C20" i="6"/>
  <c r="J9" i="5"/>
  <c r="J8" i="5"/>
  <c r="J22" i="4"/>
  <c r="H16" i="4"/>
  <c r="H17" i="4"/>
  <c r="H18" i="4"/>
  <c r="H15" i="4"/>
  <c r="D19" i="4"/>
  <c r="E19" i="4"/>
  <c r="F19" i="4"/>
  <c r="G19" i="4"/>
  <c r="C19" i="4"/>
  <c r="H15" i="3"/>
  <c r="E11" i="3"/>
  <c r="E10" i="3"/>
  <c r="E9" i="3"/>
  <c r="E8" i="3"/>
  <c r="E7" i="3"/>
  <c r="E6" i="3"/>
  <c r="E5" i="3"/>
  <c r="C21" i="2"/>
  <c r="D21" i="2"/>
  <c r="B21" i="2"/>
  <c r="E20" i="2"/>
  <c r="E19" i="2"/>
  <c r="G21" i="2" l="1"/>
</calcChain>
</file>

<file path=xl/sharedStrings.xml><?xml version="1.0" encoding="utf-8"?>
<sst xmlns="http://schemas.openxmlformats.org/spreadsheetml/2006/main" count="107" uniqueCount="64">
  <si>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</si>
  <si>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</si>
  <si>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</si>
  <si>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</si>
  <si>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</si>
  <si>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</si>
  <si>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</si>
  <si>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</si>
  <si>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</si>
  <si>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</si>
  <si>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</si>
  <si>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</si>
  <si>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</si>
  <si>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</si>
  <si>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</si>
  <si>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</si>
  <si>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</si>
  <si>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</si>
  <si>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</si>
  <si>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</si>
  <si>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</si>
  <si>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</si>
  <si>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</si>
  <si>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</si>
  <si>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</si>
  <si>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</si>
  <si>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</si>
  <si>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</si>
  <si>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</si>
  <si>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</si>
  <si>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</si>
  <si>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</si>
  <si>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</si>
  <si>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</si>
  <si>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</si>
  <si>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</si>
  <si>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</si>
  <si>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</si>
  <si>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</si>
  <si>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</si>
  <si>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</si>
  <si>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</si>
  <si>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</si>
  <si>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</si>
  <si>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</si>
  <si>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</si>
  <si>
    <t>целевая функция</t>
  </si>
  <si>
    <t>факт</t>
  </si>
  <si>
    <t>Кол-во</t>
  </si>
  <si>
    <t>Бригада</t>
  </si>
  <si>
    <t>Выходной</t>
  </si>
  <si>
    <t>понедельник,вторник</t>
  </si>
  <si>
    <t>вторник,среда</t>
  </si>
  <si>
    <t>среда,четверг</t>
  </si>
  <si>
    <t>четверг,пятница</t>
  </si>
  <si>
    <t>пятница,суббота</t>
  </si>
  <si>
    <t>суббота,воскресенье</t>
  </si>
  <si>
    <t>воскресенье,понедельник</t>
  </si>
  <si>
    <t>Целевая функция</t>
  </si>
  <si>
    <t>Участие</t>
  </si>
  <si>
    <t>Затраты</t>
  </si>
  <si>
    <t>Прибыль</t>
  </si>
  <si>
    <t>Зп.рабочего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</si>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</sst>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" borderId="0" xfId="0" applyFill="1"/>
    <xf numFmtId="10" fontId="0" fillId="5" borderId="0" xfId="0" applyNumberFormat="1" applyFill="1"/>
    <xf numFmtId="0" fontId="0" fillId="9" borderId="0" xfId="0" applyFill="1"/>
    <xf numFmtId="0" fontId="3" fillId="0" borderId="1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3" fillId="15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12" borderId="0" xfId="0" applyFont="1" applyFill="1" applyAlignment="1">
      <alignment vertical="center" wrapText="1"/>
    </xf>
    <xf numFmtId="0" fontId="0" fillId="8" borderId="0" xfId="0" applyFill="1"/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74996185186315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CCECFF"/>
      <color rgb="FFFF99CC"/>
      <color rgb="FFFFCCFF"/>
      <color rgb="FFFF9999"/>
      <color rgb="FFFFFFFF"/>
      <color rgb="FFD13A7E"/>
      <color rgb="FFA6377C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ОТВЕТ: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C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1=650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793312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106057</xdr:colOff>
      <xdr:row>0</xdr:row>
      <xdr:rowOff>0</xdr:rowOff>
    </xdr:from>
    <xdr:to>
      <xdr:col>16</xdr:col>
      <xdr:colOff>103493</xdr:colOff>
      <xdr:row>15</xdr:row>
      <xdr:rowOff>168537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767128" y="0"/>
          <a:ext cx="5135494" cy="3543108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</a:t>
          </a: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450028</xdr:colOff>
      <xdr:row>0</xdr:row>
      <xdr:rowOff>0</xdr:rowOff>
    </xdr:from>
    <xdr:to>
      <xdr:col>16</xdr:col>
      <xdr:colOff>282388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572052" y="0"/>
          <a:ext cx="4319195" cy="3366247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10</xdr:col>
      <xdr:colOff>605790</xdr:colOff>
      <xdr:row>11</xdr:row>
      <xdr:rowOff>99060</xdr:rowOff>
    </xdr:from>
    <xdr:to>
      <xdr:col>17</xdr:col>
      <xdr:colOff>605790</xdr:colOff>
      <xdr:row>20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8141970" y="2537460"/>
          <a:ext cx="448056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842842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86400" y="0"/>
          <a:ext cx="4267200" cy="26289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87" zoomScaleNormal="55" workbookViewId="0">
      <selection activeCell="E23" sqref="E23"/>
    </sheetView>
  </sheetViews>
  <sheetFormatPr defaultRowHeight="14.4" x14ac:dyDescent="0.55000000000000004"/>
  <cols>
    <col min="1" max="1" width="27.7890625" customWidth="1"/>
    <col min="5" max="5" width="14.20703125" customWidth="1"/>
    <col min="6" max="6" width="6.7890625" customWidth="1"/>
    <col min="7" max="7" width="18.47265625" customWidth="1"/>
  </cols>
  <sheetData>
    <row r="1" spans="1:15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55000000000000004">
      <c r="A2" s="9" t="s">
        <v>12</v>
      </c>
    </row>
    <row r="3" spans="1:15" x14ac:dyDescent="0.55000000000000004">
      <c r="E3" s="6" t="s">
        <v>9</v>
      </c>
    </row>
    <row r="4" spans="1:15" x14ac:dyDescent="0.55000000000000004">
      <c r="A4" s="38" t="s">
        <v>0</v>
      </c>
      <c r="B4" s="39" t="s">
        <v>1</v>
      </c>
      <c r="C4" s="39"/>
      <c r="D4" s="39"/>
      <c r="E4" s="39" t="s">
        <v>2</v>
      </c>
    </row>
    <row r="5" spans="1:15" x14ac:dyDescent="0.55000000000000004">
      <c r="A5" s="38"/>
      <c r="B5" s="2" t="s">
        <v>3</v>
      </c>
      <c r="C5" s="2" t="s">
        <v>4</v>
      </c>
      <c r="D5" s="2" t="s">
        <v>5</v>
      </c>
      <c r="E5" s="39"/>
    </row>
    <row r="6" spans="1:15" x14ac:dyDescent="0.55000000000000004">
      <c r="A6" s="2" t="s">
        <v>6</v>
      </c>
      <c r="B6" s="3">
        <v>0.04</v>
      </c>
      <c r="C6" s="7">
        <v>1.6E-2</v>
      </c>
      <c r="D6" s="7">
        <v>3.1E-2</v>
      </c>
      <c r="E6" s="2">
        <v>650</v>
      </c>
    </row>
    <row r="7" spans="1:15" x14ac:dyDescent="0.55000000000000004">
      <c r="A7" s="2" t="s">
        <v>7</v>
      </c>
      <c r="B7" s="3">
        <v>0.04</v>
      </c>
      <c r="C7" s="7">
        <v>6.6000000000000003E-2</v>
      </c>
      <c r="D7" s="7">
        <v>6.0000000000000005E-2</v>
      </c>
      <c r="E7" s="2">
        <v>350</v>
      </c>
    </row>
    <row r="8" spans="1:15" x14ac:dyDescent="0.55000000000000004">
      <c r="A8" s="2" t="s">
        <v>8</v>
      </c>
      <c r="B8" s="4">
        <v>0.97</v>
      </c>
      <c r="C8" s="4">
        <v>0.91</v>
      </c>
      <c r="D8" s="4">
        <v>1</v>
      </c>
      <c r="E8" s="5"/>
    </row>
    <row r="11" spans="1:15" x14ac:dyDescent="0.55000000000000004">
      <c r="E11" s="6" t="s">
        <v>10</v>
      </c>
    </row>
    <row r="12" spans="1:15" ht="16.8" x14ac:dyDescent="0.55000000000000004">
      <c r="A12" s="40" t="s">
        <v>2</v>
      </c>
      <c r="B12" s="2" t="s">
        <v>11</v>
      </c>
      <c r="C12" s="2" t="s">
        <v>11</v>
      </c>
      <c r="D12" s="2" t="s">
        <v>11</v>
      </c>
      <c r="E12" s="2" t="s">
        <v>11</v>
      </c>
    </row>
    <row r="13" spans="1:15" x14ac:dyDescent="0.55000000000000004">
      <c r="A13" s="41"/>
      <c r="B13" s="2">
        <v>80</v>
      </c>
      <c r="C13" s="2">
        <v>180</v>
      </c>
      <c r="D13" s="2">
        <v>360</v>
      </c>
      <c r="E13" s="2">
        <v>650</v>
      </c>
    </row>
    <row r="17" spans="1:7" x14ac:dyDescent="0.55000000000000004">
      <c r="A17" s="38" t="s">
        <v>0</v>
      </c>
      <c r="B17" s="39" t="s">
        <v>1</v>
      </c>
      <c r="C17" s="39"/>
      <c r="D17" s="39"/>
    </row>
    <row r="18" spans="1:7" x14ac:dyDescent="0.55000000000000004">
      <c r="A18" s="38"/>
      <c r="B18" s="2" t="s">
        <v>3</v>
      </c>
      <c r="C18" s="2" t="s">
        <v>4</v>
      </c>
      <c r="D18" s="2" t="s">
        <v>5</v>
      </c>
    </row>
    <row r="19" spans="1:7" x14ac:dyDescent="0.55000000000000004">
      <c r="A19" s="2" t="s">
        <v>6</v>
      </c>
      <c r="B19" s="37">
        <v>24</v>
      </c>
      <c r="C19" s="37">
        <v>56</v>
      </c>
      <c r="D19" s="37">
        <v>32</v>
      </c>
      <c r="E19" s="26">
        <f>SUM(B19:D19)</f>
        <v>112</v>
      </c>
    </row>
    <row r="20" spans="1:7" x14ac:dyDescent="0.55000000000000004">
      <c r="A20" s="2" t="s">
        <v>7</v>
      </c>
      <c r="B20" s="37">
        <v>0</v>
      </c>
      <c r="C20" s="37">
        <v>0</v>
      </c>
      <c r="D20" s="37">
        <v>0</v>
      </c>
      <c r="E20" s="26">
        <f>SUM(B20:D20)</f>
        <v>0</v>
      </c>
      <c r="G20" t="s">
        <v>46</v>
      </c>
    </row>
    <row r="21" spans="1:7" x14ac:dyDescent="0.55000000000000004">
      <c r="B21" s="25">
        <f>SUMPRODUCT(B19:B20,B6:B7)</f>
        <v>0.96</v>
      </c>
      <c r="C21" s="25">
        <f t="shared" ref="C21:D21" si="0">SUMPRODUCT(C19:C20,C6:C7)</f>
        <v>0.89600000000000002</v>
      </c>
      <c r="D21" s="25">
        <f t="shared" si="0"/>
        <v>0.99199999999999999</v>
      </c>
      <c r="G21" s="24">
        <f>SUMPRODUCT(E19:E20,E6:E7)</f>
        <v>72800</v>
      </c>
    </row>
  </sheetData>
  <mergeCells count="6">
    <mergeCell ref="A4:A5"/>
    <mergeCell ref="B4:D4"/>
    <mergeCell ref="E4:E5"/>
    <mergeCell ref="A12:A13"/>
    <mergeCell ref="A17:A18"/>
    <mergeCell ref="B17:D17"/>
  </mergeCells>
  <hyperlinks>
    <hyperlink ref="A2" r:id="rId1" xr:uid="{00000000-0004-0000-0000-000000000000}"/>
  </hyperlinks>
  <pageMargins left="0.7" right="0.7" top="0.75" bottom="0.75" header="0.3" footer="0.3"/>
  <ignoredErrors>
    <ignoredError sqref="B2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zoomScale="70" zoomScaleNormal="70" workbookViewId="0">
      <selection activeCell="H20" sqref="H20"/>
    </sheetView>
  </sheetViews>
  <sheetFormatPr defaultRowHeight="14.4" x14ac:dyDescent="0.55000000000000004"/>
  <cols>
    <col min="1" max="1" width="17.1015625" customWidth="1"/>
    <col min="2" max="2" width="35.89453125" customWidth="1"/>
    <col min="3" max="3" width="16.89453125" customWidth="1"/>
    <col min="5" max="5" width="14.20703125" customWidth="1"/>
    <col min="8" max="8" width="22.734375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 t="s">
        <v>9</v>
      </c>
    </row>
    <row r="4" spans="1:14" ht="28.2" x14ac:dyDescent="0.55000000000000004">
      <c r="A4" s="10" t="s">
        <v>24</v>
      </c>
      <c r="B4" s="10" t="s">
        <v>25</v>
      </c>
      <c r="C4" s="8" t="s">
        <v>26</v>
      </c>
      <c r="D4" s="11"/>
      <c r="E4" s="11" t="s">
        <v>47</v>
      </c>
      <c r="F4" s="11" t="s">
        <v>48</v>
      </c>
      <c r="G4" s="11" t="s">
        <v>49</v>
      </c>
      <c r="H4" s="11" t="s">
        <v>50</v>
      </c>
    </row>
    <row r="5" spans="1:14" x14ac:dyDescent="0.55000000000000004">
      <c r="A5" s="12"/>
      <c r="B5" s="12" t="s">
        <v>17</v>
      </c>
      <c r="C5" s="2">
        <v>19</v>
      </c>
      <c r="D5" s="11"/>
      <c r="E5" s="35">
        <f>F6+F7+F8+F9+F9</f>
        <v>19</v>
      </c>
      <c r="F5" s="36">
        <v>2</v>
      </c>
      <c r="G5">
        <v>1</v>
      </c>
      <c r="H5" t="s">
        <v>51</v>
      </c>
    </row>
    <row r="6" spans="1:14" x14ac:dyDescent="0.55000000000000004">
      <c r="A6" s="12"/>
      <c r="B6" s="12" t="s">
        <v>18</v>
      </c>
      <c r="C6" s="2">
        <v>15</v>
      </c>
      <c r="D6" s="11"/>
      <c r="E6" s="35">
        <f>F7+F8+F9+F10+F11</f>
        <v>15</v>
      </c>
      <c r="F6" s="36">
        <v>8</v>
      </c>
      <c r="G6">
        <v>2</v>
      </c>
      <c r="H6" t="s">
        <v>52</v>
      </c>
    </row>
    <row r="7" spans="1:14" x14ac:dyDescent="0.55000000000000004">
      <c r="A7" s="12"/>
      <c r="B7" s="12" t="s">
        <v>19</v>
      </c>
      <c r="C7" s="2">
        <v>14</v>
      </c>
      <c r="D7" s="11"/>
      <c r="E7" s="35">
        <f>F5+F8+F9+F10+F11</f>
        <v>14</v>
      </c>
      <c r="F7" s="36">
        <v>3</v>
      </c>
      <c r="G7">
        <v>3</v>
      </c>
      <c r="H7" t="s">
        <v>53</v>
      </c>
    </row>
    <row r="8" spans="1:14" x14ac:dyDescent="0.55000000000000004">
      <c r="A8" s="12"/>
      <c r="B8" s="12" t="s">
        <v>20</v>
      </c>
      <c r="C8" s="2">
        <v>18</v>
      </c>
      <c r="D8" s="11"/>
      <c r="E8" s="35">
        <f>F5+F6+F9+F10+F11</f>
        <v>18</v>
      </c>
      <c r="F8" s="36">
        <v>4</v>
      </c>
      <c r="G8">
        <v>4</v>
      </c>
      <c r="H8" t="s">
        <v>54</v>
      </c>
    </row>
    <row r="9" spans="1:14" x14ac:dyDescent="0.55000000000000004">
      <c r="A9" s="12"/>
      <c r="B9" s="12" t="s">
        <v>21</v>
      </c>
      <c r="C9" s="2">
        <v>19</v>
      </c>
      <c r="D9" s="11"/>
      <c r="E9" s="35">
        <f>F10+F11+F7+F6+F5</f>
        <v>19</v>
      </c>
      <c r="F9" s="36">
        <v>2</v>
      </c>
      <c r="G9">
        <v>5</v>
      </c>
      <c r="H9" t="s">
        <v>55</v>
      </c>
    </row>
    <row r="10" spans="1:14" x14ac:dyDescent="0.55000000000000004">
      <c r="A10" s="12"/>
      <c r="B10" s="12" t="s">
        <v>22</v>
      </c>
      <c r="C10" s="2">
        <v>22</v>
      </c>
      <c r="D10" s="11"/>
      <c r="E10" s="35">
        <f>F5+F6+F7+F8+F11</f>
        <v>23</v>
      </c>
      <c r="F10" s="36">
        <v>0</v>
      </c>
      <c r="G10">
        <v>6</v>
      </c>
      <c r="H10" t="s">
        <v>56</v>
      </c>
    </row>
    <row r="11" spans="1:14" x14ac:dyDescent="0.55000000000000004">
      <c r="A11" s="12"/>
      <c r="B11" s="12" t="s">
        <v>23</v>
      </c>
      <c r="C11" s="2">
        <v>19</v>
      </c>
      <c r="D11" s="11"/>
      <c r="E11" s="35">
        <f>F5+F6+F7+F8+F9</f>
        <v>19</v>
      </c>
      <c r="F11" s="36">
        <v>6</v>
      </c>
      <c r="G11">
        <v>7</v>
      </c>
      <c r="H11" t="s">
        <v>57</v>
      </c>
    </row>
    <row r="12" spans="1:14" x14ac:dyDescent="0.55000000000000004">
      <c r="A12" s="11"/>
      <c r="B12" s="11"/>
      <c r="C12" s="11"/>
      <c r="D12" s="11"/>
      <c r="E12" s="11"/>
    </row>
    <row r="13" spans="1:14" x14ac:dyDescent="0.55000000000000004">
      <c r="A13" s="6" t="s">
        <v>13</v>
      </c>
      <c r="B13" s="11"/>
      <c r="C13" s="11"/>
      <c r="D13" s="11"/>
      <c r="E13" s="11"/>
    </row>
    <row r="14" spans="1:14" x14ac:dyDescent="0.55000000000000004">
      <c r="A14" s="10" t="s">
        <v>14</v>
      </c>
      <c r="B14" s="10" t="s">
        <v>15</v>
      </c>
      <c r="C14" s="8" t="s">
        <v>16</v>
      </c>
      <c r="H14" t="s">
        <v>58</v>
      </c>
    </row>
    <row r="15" spans="1:14" x14ac:dyDescent="0.55000000000000004">
      <c r="A15" s="13"/>
      <c r="B15" s="12" t="s">
        <v>17</v>
      </c>
      <c r="C15" s="2">
        <v>1900</v>
      </c>
      <c r="H15" s="24">
        <f>SUMPRODUCT(E5:E11,C15:C21)</f>
        <v>293400</v>
      </c>
    </row>
    <row r="16" spans="1:14" x14ac:dyDescent="0.55000000000000004">
      <c r="A16" s="13"/>
      <c r="B16" s="12" t="s">
        <v>18</v>
      </c>
      <c r="C16" s="2">
        <v>2300</v>
      </c>
    </row>
    <row r="17" spans="1:3" x14ac:dyDescent="0.55000000000000004">
      <c r="A17" s="13"/>
      <c r="B17" s="12" t="s">
        <v>19</v>
      </c>
      <c r="C17" s="2">
        <v>2200</v>
      </c>
    </row>
    <row r="18" spans="1:3" x14ac:dyDescent="0.55000000000000004">
      <c r="A18" s="13"/>
      <c r="B18" s="12" t="s">
        <v>20</v>
      </c>
      <c r="C18" s="2">
        <v>2300</v>
      </c>
    </row>
    <row r="19" spans="1:3" x14ac:dyDescent="0.55000000000000004">
      <c r="A19" s="13"/>
      <c r="B19" s="12" t="s">
        <v>21</v>
      </c>
      <c r="C19" s="2">
        <v>2100</v>
      </c>
    </row>
    <row r="20" spans="1:3" x14ac:dyDescent="0.55000000000000004">
      <c r="A20" s="13"/>
      <c r="B20" s="12" t="s">
        <v>22</v>
      </c>
      <c r="C20" s="2">
        <v>2500</v>
      </c>
    </row>
    <row r="21" spans="1:3" x14ac:dyDescent="0.55000000000000004">
      <c r="A21" s="13"/>
      <c r="B21" s="12" t="s">
        <v>23</v>
      </c>
      <c r="C21" s="2">
        <v>2800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zoomScale="85" zoomScaleNormal="85" workbookViewId="0">
      <selection activeCell="F25" sqref="F25"/>
    </sheetView>
  </sheetViews>
  <sheetFormatPr defaultRowHeight="14.4" x14ac:dyDescent="0.55000000000000004"/>
  <cols>
    <col min="1" max="1" width="6.3125" customWidth="1"/>
    <col min="2" max="2" width="17.20703125" customWidth="1"/>
    <col min="3" max="7" width="14.3125" customWidth="1"/>
    <col min="8" max="8" width="8.3125" customWidth="1"/>
    <col min="10" max="10" width="14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/>
    </row>
    <row r="5" spans="1:14" x14ac:dyDescent="0.55000000000000004">
      <c r="A5" s="14"/>
      <c r="B5" s="15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/>
    </row>
    <row r="6" spans="1:14" x14ac:dyDescent="0.55000000000000004">
      <c r="A6" s="14"/>
      <c r="B6" s="14"/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/>
    </row>
    <row r="7" spans="1:14" x14ac:dyDescent="0.55000000000000004">
      <c r="A7" s="12">
        <v>1</v>
      </c>
      <c r="B7" s="12" t="s">
        <v>32</v>
      </c>
      <c r="C7" s="2">
        <v>1.75</v>
      </c>
      <c r="D7" s="2">
        <v>2.5</v>
      </c>
      <c r="E7" s="2">
        <v>1.25</v>
      </c>
      <c r="F7" s="2">
        <v>2.75</v>
      </c>
      <c r="G7" s="2">
        <v>2</v>
      </c>
      <c r="H7" s="2">
        <v>250</v>
      </c>
    </row>
    <row r="8" spans="1:14" x14ac:dyDescent="0.55000000000000004">
      <c r="A8" s="12">
        <v>2</v>
      </c>
      <c r="B8" s="12" t="s">
        <v>33</v>
      </c>
      <c r="C8" s="2">
        <v>2.25</v>
      </c>
      <c r="D8" s="2">
        <v>2.25</v>
      </c>
      <c r="E8" s="2">
        <v>2</v>
      </c>
      <c r="F8" s="2">
        <v>1.5</v>
      </c>
      <c r="G8" s="2">
        <v>2</v>
      </c>
      <c r="H8" s="2">
        <v>200</v>
      </c>
    </row>
    <row r="9" spans="1:14" x14ac:dyDescent="0.55000000000000004">
      <c r="A9" s="12">
        <v>3</v>
      </c>
      <c r="B9" s="12" t="s">
        <v>34</v>
      </c>
      <c r="C9" s="2">
        <v>2</v>
      </c>
      <c r="D9" s="2">
        <v>1</v>
      </c>
      <c r="E9" s="2">
        <v>1.25</v>
      </c>
      <c r="F9" s="2">
        <v>1.5</v>
      </c>
      <c r="G9" s="2">
        <v>1.75</v>
      </c>
      <c r="H9" s="2">
        <v>215</v>
      </c>
    </row>
    <row r="10" spans="1:14" x14ac:dyDescent="0.55000000000000004">
      <c r="A10" s="12">
        <v>4</v>
      </c>
      <c r="B10" s="12" t="s">
        <v>28</v>
      </c>
      <c r="C10" s="2">
        <v>2</v>
      </c>
      <c r="D10" s="2">
        <v>0.5</v>
      </c>
      <c r="E10" s="2">
        <v>1.75</v>
      </c>
      <c r="F10" s="2">
        <v>2.25</v>
      </c>
      <c r="G10" s="2">
        <v>1.75</v>
      </c>
      <c r="H10" s="2">
        <v>115</v>
      </c>
    </row>
    <row r="11" spans="1:14" x14ac:dyDescent="0.55000000000000004">
      <c r="A11" s="12"/>
      <c r="B11" s="12"/>
      <c r="C11" s="2">
        <v>120</v>
      </c>
      <c r="D11" s="2">
        <v>230</v>
      </c>
      <c r="E11" s="2">
        <v>30</v>
      </c>
      <c r="F11" s="2">
        <v>230</v>
      </c>
      <c r="G11" s="2">
        <v>170</v>
      </c>
      <c r="H11" s="2"/>
    </row>
    <row r="13" spans="1:14" x14ac:dyDescent="0.55000000000000004">
      <c r="B13" s="6" t="s">
        <v>9</v>
      </c>
    </row>
    <row r="14" spans="1:14" x14ac:dyDescent="0.55000000000000004">
      <c r="B14" s="12"/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</row>
    <row r="15" spans="1:14" x14ac:dyDescent="0.55000000000000004">
      <c r="B15" s="12" t="s">
        <v>32</v>
      </c>
      <c r="C15" s="33">
        <v>120</v>
      </c>
      <c r="D15" s="33">
        <v>0</v>
      </c>
      <c r="E15" s="33">
        <v>30</v>
      </c>
      <c r="F15" s="33">
        <v>0</v>
      </c>
      <c r="G15" s="33">
        <v>100</v>
      </c>
      <c r="H15" s="29">
        <f>SUM(C15:G15)</f>
        <v>250</v>
      </c>
    </row>
    <row r="16" spans="1:14" x14ac:dyDescent="0.55000000000000004">
      <c r="B16" s="12" t="s">
        <v>33</v>
      </c>
      <c r="C16" s="33">
        <v>0</v>
      </c>
      <c r="D16" s="33">
        <v>0</v>
      </c>
      <c r="E16" s="33">
        <v>0</v>
      </c>
      <c r="F16" s="33">
        <v>200</v>
      </c>
      <c r="G16" s="33">
        <v>0</v>
      </c>
      <c r="H16" s="29">
        <f t="shared" ref="H16:H18" si="0">SUM(C16:G16)</f>
        <v>200</v>
      </c>
    </row>
    <row r="17" spans="2:10" x14ac:dyDescent="0.55000000000000004">
      <c r="B17" s="12" t="s">
        <v>34</v>
      </c>
      <c r="C17" s="33">
        <v>0</v>
      </c>
      <c r="D17" s="33">
        <v>115</v>
      </c>
      <c r="E17" s="33">
        <v>0</v>
      </c>
      <c r="F17" s="33">
        <v>30</v>
      </c>
      <c r="G17" s="33">
        <v>70</v>
      </c>
      <c r="H17" s="29">
        <f t="shared" si="0"/>
        <v>215</v>
      </c>
    </row>
    <row r="18" spans="2:10" x14ac:dyDescent="0.55000000000000004">
      <c r="B18" s="12" t="s">
        <v>28</v>
      </c>
      <c r="C18" s="33">
        <v>0</v>
      </c>
      <c r="D18" s="33">
        <v>115</v>
      </c>
      <c r="E18" s="33">
        <v>0</v>
      </c>
      <c r="F18" s="33">
        <v>0</v>
      </c>
      <c r="G18" s="33">
        <v>0</v>
      </c>
      <c r="H18" s="29">
        <f t="shared" si="0"/>
        <v>115</v>
      </c>
    </row>
    <row r="19" spans="2:10" x14ac:dyDescent="0.55000000000000004">
      <c r="C19" s="34">
        <f>SUM(C15:C18)</f>
        <v>120</v>
      </c>
      <c r="D19" s="34">
        <f t="shared" ref="D19:G19" si="1">SUM(D15:D18)</f>
        <v>230</v>
      </c>
      <c r="E19" s="34">
        <f t="shared" si="1"/>
        <v>30</v>
      </c>
      <c r="F19" s="34">
        <f t="shared" si="1"/>
        <v>230</v>
      </c>
      <c r="G19" s="34">
        <f t="shared" si="1"/>
        <v>170</v>
      </c>
    </row>
    <row r="21" spans="2:10" x14ac:dyDescent="0.55000000000000004">
      <c r="J21" t="s">
        <v>58</v>
      </c>
    </row>
    <row r="22" spans="2:10" x14ac:dyDescent="0.55000000000000004">
      <c r="J22" s="24">
        <f>SUMPRODUCT(C15:G18,C7:G10)</f>
        <v>1087.5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J8" sqref="J8"/>
    </sheetView>
  </sheetViews>
  <sheetFormatPr defaultRowHeight="14.4" x14ac:dyDescent="0.55000000000000004"/>
  <cols>
    <col min="2" max="3" width="16.68359375" customWidth="1"/>
    <col min="10" max="10" width="16.2617187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4" spans="1:10" x14ac:dyDescent="0.55000000000000004">
      <c r="A4" s="6" t="s">
        <v>9</v>
      </c>
      <c r="E4" s="6" t="s">
        <v>41</v>
      </c>
    </row>
    <row r="5" spans="1:10" x14ac:dyDescent="0.55000000000000004">
      <c r="A5" s="12" t="s">
        <v>42</v>
      </c>
      <c r="B5" s="12" t="s">
        <v>43</v>
      </c>
      <c r="C5" s="12" t="s">
        <v>44</v>
      </c>
      <c r="E5" s="23" t="s">
        <v>45</v>
      </c>
      <c r="G5" t="s">
        <v>59</v>
      </c>
    </row>
    <row r="6" spans="1:10" x14ac:dyDescent="0.55000000000000004">
      <c r="A6" s="12">
        <v>1</v>
      </c>
      <c r="B6" s="12">
        <v>23000</v>
      </c>
      <c r="C6" s="12">
        <v>9200</v>
      </c>
      <c r="E6" s="2">
        <v>72000</v>
      </c>
      <c r="G6" s="31">
        <v>1</v>
      </c>
    </row>
    <row r="7" spans="1:10" x14ac:dyDescent="0.55000000000000004">
      <c r="A7" s="12">
        <v>2</v>
      </c>
      <c r="B7" s="12">
        <v>17000</v>
      </c>
      <c r="C7" s="12">
        <v>6500</v>
      </c>
      <c r="E7" s="2">
        <v>72000</v>
      </c>
      <c r="G7" s="31">
        <v>1</v>
      </c>
    </row>
    <row r="8" spans="1:10" x14ac:dyDescent="0.55000000000000004">
      <c r="A8" s="12">
        <v>3</v>
      </c>
      <c r="B8" s="12">
        <v>12400</v>
      </c>
      <c r="C8" s="12">
        <v>5600</v>
      </c>
      <c r="G8" s="31">
        <v>1</v>
      </c>
      <c r="I8" t="s">
        <v>60</v>
      </c>
      <c r="J8" s="32">
        <f>SUMPRODUCT(G6:G13,B6:B13)</f>
        <v>71400</v>
      </c>
    </row>
    <row r="9" spans="1:10" x14ac:dyDescent="0.55000000000000004">
      <c r="A9" s="12">
        <v>4</v>
      </c>
      <c r="B9" s="12">
        <v>10500</v>
      </c>
      <c r="C9" s="12">
        <v>4800</v>
      </c>
      <c r="G9" s="31">
        <v>0</v>
      </c>
      <c r="I9" t="s">
        <v>61</v>
      </c>
      <c r="J9" s="24">
        <f>SUMPRODUCT(G6:G13,C6:C13)</f>
        <v>31000</v>
      </c>
    </row>
    <row r="10" spans="1:10" x14ac:dyDescent="0.55000000000000004">
      <c r="A10" s="12">
        <v>5</v>
      </c>
      <c r="B10" s="12">
        <v>8500</v>
      </c>
      <c r="C10" s="12">
        <v>3900</v>
      </c>
      <c r="G10" s="31">
        <v>1</v>
      </c>
    </row>
    <row r="11" spans="1:10" x14ac:dyDescent="0.55000000000000004">
      <c r="A11" s="12">
        <v>6</v>
      </c>
      <c r="B11" s="12">
        <v>7400</v>
      </c>
      <c r="C11" s="12">
        <v>3800</v>
      </c>
      <c r="G11" s="31">
        <v>1</v>
      </c>
    </row>
    <row r="12" spans="1:10" x14ac:dyDescent="0.55000000000000004">
      <c r="A12" s="12">
        <v>7</v>
      </c>
      <c r="B12" s="12">
        <v>7400</v>
      </c>
      <c r="C12" s="12">
        <v>3500</v>
      </c>
      <c r="G12" s="31">
        <v>0</v>
      </c>
    </row>
    <row r="13" spans="1:10" x14ac:dyDescent="0.55000000000000004">
      <c r="A13" s="12">
        <v>8</v>
      </c>
      <c r="B13" s="12">
        <v>3100</v>
      </c>
      <c r="C13" s="12">
        <v>2000</v>
      </c>
      <c r="G13" s="31">
        <v>1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activeCell="J16" sqref="J16"/>
    </sheetView>
  </sheetViews>
  <sheetFormatPr defaultRowHeight="14.4" x14ac:dyDescent="0.55000000000000004"/>
  <cols>
    <col min="7" max="7" width="7.578125" customWidth="1"/>
    <col min="8" max="8" width="13.89453125" customWidth="1"/>
    <col min="9" max="9" width="16.47265625" customWidth="1"/>
    <col min="10" max="10" width="16.0507812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5" spans="1:10" x14ac:dyDescent="0.55000000000000004">
      <c r="A5" s="16"/>
      <c r="B5" s="17"/>
      <c r="C5" s="42" t="s">
        <v>35</v>
      </c>
      <c r="D5" s="42"/>
      <c r="E5" s="42"/>
      <c r="F5" s="43"/>
    </row>
    <row r="6" spans="1:10" ht="14.4" customHeight="1" x14ac:dyDescent="0.55000000000000004">
      <c r="A6" s="18"/>
      <c r="B6" s="19"/>
      <c r="C6" s="20" t="s">
        <v>36</v>
      </c>
      <c r="D6" s="21" t="s">
        <v>37</v>
      </c>
      <c r="E6" s="21" t="s">
        <v>38</v>
      </c>
      <c r="F6" s="21" t="s">
        <v>39</v>
      </c>
    </row>
    <row r="7" spans="1:10" x14ac:dyDescent="0.55000000000000004">
      <c r="A7" s="44" t="s">
        <v>40</v>
      </c>
      <c r="B7" s="22">
        <v>1</v>
      </c>
      <c r="C7" s="2">
        <v>8</v>
      </c>
      <c r="D7" s="2">
        <v>12</v>
      </c>
      <c r="E7" s="2">
        <v>4</v>
      </c>
      <c r="F7" s="2">
        <v>4</v>
      </c>
    </row>
    <row r="8" spans="1:10" x14ac:dyDescent="0.55000000000000004">
      <c r="A8" s="44"/>
      <c r="B8" s="21">
        <v>2</v>
      </c>
      <c r="C8" s="2">
        <v>8</v>
      </c>
      <c r="D8" s="2">
        <v>4</v>
      </c>
      <c r="E8" s="2">
        <v>15</v>
      </c>
      <c r="F8" s="2">
        <v>15</v>
      </c>
    </row>
    <row r="9" spans="1:10" x14ac:dyDescent="0.55000000000000004">
      <c r="A9" s="44"/>
      <c r="B9" s="21">
        <v>3</v>
      </c>
      <c r="C9" s="2">
        <v>9</v>
      </c>
      <c r="D9" s="2">
        <v>14</v>
      </c>
      <c r="E9" s="2">
        <v>13</v>
      </c>
      <c r="F9" s="2">
        <v>14</v>
      </c>
    </row>
    <row r="10" spans="1:10" x14ac:dyDescent="0.55000000000000004">
      <c r="A10" s="45"/>
      <c r="B10" s="21">
        <v>4</v>
      </c>
      <c r="C10" s="2">
        <v>1</v>
      </c>
      <c r="D10" s="2">
        <v>10</v>
      </c>
      <c r="E10" s="2">
        <v>9</v>
      </c>
      <c r="F10" s="2">
        <v>12</v>
      </c>
    </row>
    <row r="14" spans="1:10" x14ac:dyDescent="0.55000000000000004">
      <c r="A14" s="16"/>
      <c r="B14" s="17"/>
      <c r="C14" s="42" t="s">
        <v>35</v>
      </c>
      <c r="D14" s="42"/>
      <c r="E14" s="42"/>
      <c r="F14" s="43"/>
    </row>
    <row r="15" spans="1:10" x14ac:dyDescent="0.55000000000000004">
      <c r="A15" s="18"/>
      <c r="B15" s="19"/>
      <c r="C15" s="20" t="s">
        <v>36</v>
      </c>
      <c r="D15" s="21" t="s">
        <v>37</v>
      </c>
      <c r="E15" s="21" t="s">
        <v>38</v>
      </c>
      <c r="F15" s="21" t="s">
        <v>39</v>
      </c>
      <c r="H15" s="27" t="s">
        <v>62</v>
      </c>
      <c r="I15" s="27" t="s">
        <v>63</v>
      </c>
      <c r="J15" t="s">
        <v>58</v>
      </c>
    </row>
    <row r="16" spans="1:10" x14ac:dyDescent="0.55000000000000004">
      <c r="A16" s="44" t="s">
        <v>40</v>
      </c>
      <c r="B16" s="22">
        <v>1</v>
      </c>
      <c r="C16" s="28">
        <v>0</v>
      </c>
      <c r="D16" s="28">
        <v>0</v>
      </c>
      <c r="E16" s="28">
        <v>0</v>
      </c>
      <c r="F16" s="28">
        <v>1</v>
      </c>
      <c r="G16" s="29">
        <f>SUM(C16:F16)</f>
        <v>1</v>
      </c>
      <c r="H16">
        <f>SUMPRODUCT(C16:F16,C7:F7)</f>
        <v>4</v>
      </c>
      <c r="I16">
        <f>0.15*J16</f>
        <v>3.9</v>
      </c>
      <c r="J16" s="24">
        <f>SUMPRODUCT(C7:F10,C16:F19)</f>
        <v>26</v>
      </c>
    </row>
    <row r="17" spans="1:8" x14ac:dyDescent="0.55000000000000004">
      <c r="A17" s="44"/>
      <c r="B17" s="21">
        <v>2</v>
      </c>
      <c r="C17" s="28">
        <v>0</v>
      </c>
      <c r="D17" s="28">
        <v>1</v>
      </c>
      <c r="E17" s="28">
        <v>0</v>
      </c>
      <c r="F17" s="28">
        <v>0</v>
      </c>
      <c r="G17" s="29">
        <f t="shared" ref="G17:G19" si="0">SUM(C17:F17)</f>
        <v>1</v>
      </c>
      <c r="H17">
        <f t="shared" ref="H17:H19" si="1">SUMPRODUCT(C17:F17,C8:F8)</f>
        <v>4</v>
      </c>
    </row>
    <row r="18" spans="1:8" x14ac:dyDescent="0.55000000000000004">
      <c r="A18" s="44"/>
      <c r="B18" s="21">
        <v>3</v>
      </c>
      <c r="C18" s="28">
        <v>1</v>
      </c>
      <c r="D18" s="28">
        <v>0</v>
      </c>
      <c r="E18" s="28">
        <v>0</v>
      </c>
      <c r="F18" s="28">
        <v>0</v>
      </c>
      <c r="G18" s="29">
        <f t="shared" si="0"/>
        <v>1</v>
      </c>
      <c r="H18">
        <f t="shared" si="1"/>
        <v>9</v>
      </c>
    </row>
    <row r="19" spans="1:8" x14ac:dyDescent="0.55000000000000004">
      <c r="A19" s="45"/>
      <c r="B19" s="21">
        <v>4</v>
      </c>
      <c r="C19" s="28">
        <v>0</v>
      </c>
      <c r="D19" s="28">
        <v>0</v>
      </c>
      <c r="E19" s="28">
        <v>1</v>
      </c>
      <c r="F19" s="28">
        <v>0</v>
      </c>
      <c r="G19" s="29">
        <f t="shared" si="0"/>
        <v>1</v>
      </c>
      <c r="H19">
        <f t="shared" si="1"/>
        <v>9</v>
      </c>
    </row>
    <row r="20" spans="1:8" x14ac:dyDescent="0.55000000000000004">
      <c r="C20" s="30">
        <f>SUM(C16:C19)</f>
        <v>1</v>
      </c>
      <c r="D20" s="30">
        <f t="shared" ref="D20:F20" si="2">SUM(D16:D19)</f>
        <v>1</v>
      </c>
      <c r="E20" s="30">
        <f t="shared" si="2"/>
        <v>1</v>
      </c>
      <c r="F20" s="30">
        <f t="shared" si="2"/>
        <v>1</v>
      </c>
    </row>
  </sheetData>
  <mergeCells count="4">
    <mergeCell ref="C5:F5"/>
    <mergeCell ref="A7:A10"/>
    <mergeCell ref="C14:F14"/>
    <mergeCell ref="A16:A19"/>
  </mergeCells>
  <conditionalFormatting sqref="C16:F19">
    <cfRule type="cellIs" dxfId="3" priority="1" operator="equal">
      <formula>1</formula>
    </cfRule>
    <cfRule type="cellIs" dxfId="2" priority="2" operator="equal">
      <formula>1</formula>
    </cfRule>
    <cfRule type="cellIs" dxfId="1" priority="3" operator="equal">
      <formula>0.5</formula>
    </cfRule>
    <cfRule type="cellIs" dxfId="0" priority="4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frattin didi</cp:lastModifiedBy>
  <dcterms:created xsi:type="dcterms:W3CDTF">2025-11-28T21:09:32Z</dcterms:created>
  <dcterms:modified xsi:type="dcterms:W3CDTF">2026-01-13T07:56:19Z</dcterms:modified>
</cp:coreProperties>
</file>